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grosz\_MIA103\bases\"/>
    </mc:Choice>
  </mc:AlternateContent>
  <xr:revisionPtr revIDLastSave="0" documentId="13_ncr:1_{C8AC649D-2DED-4A7C-BDC9-9CA39F7C7B63}" xr6:coauthVersionLast="47" xr6:coauthVersionMax="47" xr10:uidLastSave="{00000000-0000-0000-0000-000000000000}"/>
  <bookViews>
    <workbookView xWindow="-120" yWindow="-120" windowWidth="20730" windowHeight="11040" xr2:uid="{4C9B4E84-1F41-4A22-A012-AEF360AC8A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1" i="1" l="1"/>
  <c r="F61" i="1"/>
  <c r="I61" i="1" s="1"/>
  <c r="E61" i="1"/>
  <c r="H61" i="1" s="1"/>
  <c r="G60" i="1"/>
  <c r="H60" i="1" s="1"/>
  <c r="F60" i="1"/>
  <c r="E60" i="1"/>
  <c r="G59" i="1"/>
  <c r="F59" i="1"/>
  <c r="I59" i="1" s="1"/>
  <c r="E59" i="1"/>
  <c r="H59" i="1" s="1"/>
  <c r="I58" i="1"/>
  <c r="G58" i="1"/>
  <c r="F58" i="1"/>
  <c r="E58" i="1"/>
  <c r="H58" i="1" s="1"/>
  <c r="G57" i="1"/>
  <c r="H57" i="1" s="1"/>
  <c r="F57" i="1"/>
  <c r="I57" i="1" s="1"/>
  <c r="E57" i="1"/>
  <c r="G56" i="1"/>
  <c r="F56" i="1"/>
  <c r="I56" i="1" s="1"/>
  <c r="E56" i="1"/>
  <c r="H56" i="1" s="1"/>
  <c r="I55" i="1"/>
  <c r="H55" i="1"/>
  <c r="G55" i="1"/>
  <c r="F55" i="1"/>
  <c r="E55" i="1"/>
  <c r="G54" i="1"/>
  <c r="F54" i="1"/>
  <c r="I54" i="1" s="1"/>
  <c r="E54" i="1"/>
  <c r="H54" i="1" s="1"/>
  <c r="G53" i="1"/>
  <c r="F53" i="1"/>
  <c r="I53" i="1" s="1"/>
  <c r="E53" i="1"/>
  <c r="H53" i="1" s="1"/>
  <c r="G52" i="1"/>
  <c r="I52" i="1" s="1"/>
  <c r="F52" i="1"/>
  <c r="E52" i="1"/>
  <c r="G51" i="1"/>
  <c r="F51" i="1"/>
  <c r="I51" i="1" s="1"/>
  <c r="E51" i="1"/>
  <c r="H51" i="1" s="1"/>
  <c r="I50" i="1"/>
  <c r="G50" i="1"/>
  <c r="F50" i="1"/>
  <c r="E50" i="1"/>
  <c r="H50" i="1" s="1"/>
  <c r="G49" i="1"/>
  <c r="H49" i="1" s="1"/>
  <c r="F49" i="1"/>
  <c r="I49" i="1" s="1"/>
  <c r="E49" i="1"/>
  <c r="G48" i="1"/>
  <c r="F48" i="1"/>
  <c r="I48" i="1" s="1"/>
  <c r="E48" i="1"/>
  <c r="H48" i="1" s="1"/>
  <c r="I47" i="1"/>
  <c r="H47" i="1"/>
  <c r="G47" i="1"/>
  <c r="F47" i="1"/>
  <c r="E47" i="1"/>
  <c r="G46" i="1"/>
  <c r="F46" i="1"/>
  <c r="I46" i="1" s="1"/>
  <c r="E46" i="1"/>
  <c r="H46" i="1" s="1"/>
  <c r="G45" i="1"/>
  <c r="F45" i="1"/>
  <c r="I45" i="1" s="1"/>
  <c r="E45" i="1"/>
  <c r="H45" i="1" s="1"/>
  <c r="G44" i="1"/>
  <c r="I44" i="1" s="1"/>
  <c r="F44" i="1"/>
  <c r="E44" i="1"/>
  <c r="G43" i="1"/>
  <c r="F43" i="1"/>
  <c r="I43" i="1" s="1"/>
  <c r="E43" i="1"/>
  <c r="H43" i="1" s="1"/>
  <c r="I42" i="1"/>
  <c r="G42" i="1"/>
  <c r="F42" i="1"/>
  <c r="E42" i="1"/>
  <c r="H42" i="1" s="1"/>
  <c r="G41" i="1"/>
  <c r="H41" i="1" s="1"/>
  <c r="F41" i="1"/>
  <c r="I41" i="1" s="1"/>
  <c r="E41" i="1"/>
  <c r="G40" i="1"/>
  <c r="F40" i="1"/>
  <c r="I40" i="1" s="1"/>
  <c r="E40" i="1"/>
  <c r="H40" i="1" s="1"/>
  <c r="I39" i="1"/>
  <c r="H39" i="1"/>
  <c r="G39" i="1"/>
  <c r="F39" i="1"/>
  <c r="E39" i="1"/>
  <c r="G38" i="1"/>
  <c r="F38" i="1"/>
  <c r="I38" i="1" s="1"/>
  <c r="E38" i="1"/>
  <c r="H38" i="1" s="1"/>
  <c r="G37" i="1"/>
  <c r="F37" i="1"/>
  <c r="I37" i="1" s="1"/>
  <c r="E37" i="1"/>
  <c r="H37" i="1" s="1"/>
  <c r="G36" i="1"/>
  <c r="I36" i="1" s="1"/>
  <c r="F36" i="1"/>
  <c r="E36" i="1"/>
  <c r="G35" i="1"/>
  <c r="F35" i="1"/>
  <c r="I35" i="1" s="1"/>
  <c r="E35" i="1"/>
  <c r="H35" i="1" s="1"/>
  <c r="I34" i="1"/>
  <c r="G34" i="1"/>
  <c r="F34" i="1"/>
  <c r="E34" i="1"/>
  <c r="H34" i="1" s="1"/>
  <c r="G33" i="1"/>
  <c r="H33" i="1" s="1"/>
  <c r="F33" i="1"/>
  <c r="I33" i="1" s="1"/>
  <c r="E33" i="1"/>
  <c r="G32" i="1"/>
  <c r="F32" i="1"/>
  <c r="I32" i="1" s="1"/>
  <c r="E32" i="1"/>
  <c r="H32" i="1" s="1"/>
  <c r="I31" i="1"/>
  <c r="H31" i="1"/>
  <c r="G31" i="1"/>
  <c r="F31" i="1"/>
  <c r="E31" i="1"/>
  <c r="G30" i="1"/>
  <c r="F30" i="1"/>
  <c r="I30" i="1" s="1"/>
  <c r="E30" i="1"/>
  <c r="H30" i="1" s="1"/>
  <c r="G29" i="1"/>
  <c r="F29" i="1"/>
  <c r="I29" i="1" s="1"/>
  <c r="E29" i="1"/>
  <c r="H29" i="1" s="1"/>
  <c r="G28" i="1"/>
  <c r="I28" i="1" s="1"/>
  <c r="F28" i="1"/>
  <c r="E28" i="1"/>
  <c r="G27" i="1"/>
  <c r="F27" i="1"/>
  <c r="I27" i="1" s="1"/>
  <c r="E27" i="1"/>
  <c r="H27" i="1" s="1"/>
  <c r="I26" i="1"/>
  <c r="G26" i="1"/>
  <c r="F26" i="1"/>
  <c r="E26" i="1"/>
  <c r="H26" i="1" s="1"/>
  <c r="G25" i="1"/>
  <c r="H25" i="1" s="1"/>
  <c r="F25" i="1"/>
  <c r="I25" i="1" s="1"/>
  <c r="E25" i="1"/>
  <c r="G24" i="1"/>
  <c r="F24" i="1"/>
  <c r="I24" i="1" s="1"/>
  <c r="E24" i="1"/>
  <c r="H24" i="1" s="1"/>
  <c r="I23" i="1"/>
  <c r="H23" i="1"/>
  <c r="G23" i="1"/>
  <c r="F23" i="1"/>
  <c r="E23" i="1"/>
  <c r="G22" i="1"/>
  <c r="F22" i="1"/>
  <c r="I22" i="1" s="1"/>
  <c r="E22" i="1"/>
  <c r="H22" i="1" s="1"/>
  <c r="G21" i="1"/>
  <c r="F21" i="1"/>
  <c r="I21" i="1" s="1"/>
  <c r="E21" i="1"/>
  <c r="H21" i="1" s="1"/>
  <c r="G20" i="1"/>
  <c r="I20" i="1" s="1"/>
  <c r="F20" i="1"/>
  <c r="E20" i="1"/>
  <c r="G19" i="1"/>
  <c r="F19" i="1"/>
  <c r="I19" i="1" s="1"/>
  <c r="E19" i="1"/>
  <c r="H19" i="1" s="1"/>
  <c r="I18" i="1"/>
  <c r="G18" i="1"/>
  <c r="F18" i="1"/>
  <c r="E18" i="1"/>
  <c r="H18" i="1" s="1"/>
  <c r="G17" i="1"/>
  <c r="H17" i="1" s="1"/>
  <c r="F17" i="1"/>
  <c r="I17" i="1" s="1"/>
  <c r="E17" i="1"/>
  <c r="G16" i="1"/>
  <c r="F16" i="1"/>
  <c r="I16" i="1" s="1"/>
  <c r="E16" i="1"/>
  <c r="H16" i="1" s="1"/>
  <c r="I15" i="1"/>
  <c r="H15" i="1"/>
  <c r="G15" i="1"/>
  <c r="F15" i="1"/>
  <c r="E15" i="1"/>
  <c r="G14" i="1"/>
  <c r="F14" i="1"/>
  <c r="I14" i="1" s="1"/>
  <c r="E14" i="1"/>
  <c r="H14" i="1" s="1"/>
  <c r="G13" i="1"/>
  <c r="F13" i="1"/>
  <c r="I13" i="1" s="1"/>
  <c r="E13" i="1"/>
  <c r="H13" i="1" s="1"/>
  <c r="G12" i="1"/>
  <c r="H12" i="1" s="1"/>
  <c r="F12" i="1"/>
  <c r="E12" i="1"/>
  <c r="G11" i="1"/>
  <c r="F11" i="1"/>
  <c r="I11" i="1" s="1"/>
  <c r="E11" i="1"/>
  <c r="H11" i="1" s="1"/>
  <c r="I10" i="1"/>
  <c r="G10" i="1"/>
  <c r="F10" i="1"/>
  <c r="E10" i="1"/>
  <c r="H10" i="1" s="1"/>
  <c r="G9" i="1"/>
  <c r="H9" i="1" s="1"/>
  <c r="F9" i="1"/>
  <c r="I9" i="1" s="1"/>
  <c r="E9" i="1"/>
  <c r="G8" i="1"/>
  <c r="F8" i="1"/>
  <c r="I8" i="1" s="1"/>
  <c r="E8" i="1"/>
  <c r="H8" i="1" s="1"/>
  <c r="I7" i="1"/>
  <c r="H7" i="1"/>
  <c r="G7" i="1"/>
  <c r="F7" i="1"/>
  <c r="E7" i="1"/>
  <c r="G6" i="1"/>
  <c r="F6" i="1"/>
  <c r="I6" i="1" s="1"/>
  <c r="E6" i="1"/>
  <c r="H6" i="1" s="1"/>
  <c r="G5" i="1"/>
  <c r="F5" i="1"/>
  <c r="I5" i="1" s="1"/>
  <c r="E5" i="1"/>
  <c r="H5" i="1" s="1"/>
  <c r="G4" i="1"/>
  <c r="I4" i="1" s="1"/>
  <c r="F4" i="1"/>
  <c r="E4" i="1"/>
  <c r="G3" i="1"/>
  <c r="F3" i="1"/>
  <c r="I3" i="1" s="1"/>
  <c r="E3" i="1"/>
  <c r="H3" i="1" s="1"/>
  <c r="G2" i="1"/>
  <c r="H4" i="1" l="1"/>
  <c r="H20" i="1"/>
  <c r="I60" i="1"/>
  <c r="H28" i="1"/>
  <c r="H36" i="1"/>
  <c r="H44" i="1"/>
  <c r="H52" i="1"/>
  <c r="I12" i="1"/>
</calcChain>
</file>

<file path=xl/sharedStrings.xml><?xml version="1.0" encoding="utf-8"?>
<sst xmlns="http://schemas.openxmlformats.org/spreadsheetml/2006/main" count="11" uniqueCount="9">
  <si>
    <t>Date</t>
  </si>
  <si>
    <t>IBM_price</t>
  </si>
  <si>
    <t>S&amp;P500_index</t>
  </si>
  <si>
    <r>
      <t>3mTB (R</t>
    </r>
    <r>
      <rPr>
        <sz val="6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 anualizada</t>
    </r>
  </si>
  <si>
    <r>
      <t>R</t>
    </r>
    <r>
      <rPr>
        <sz val="6"/>
        <color theme="1"/>
        <rFont val="Calibri"/>
        <family val="2"/>
        <scheme val="minor"/>
      </rPr>
      <t>IBM</t>
    </r>
  </si>
  <si>
    <r>
      <t>R</t>
    </r>
    <r>
      <rPr>
        <sz val="6"/>
        <color theme="1"/>
        <rFont val="Calibri"/>
        <family val="2"/>
        <scheme val="minor"/>
      </rPr>
      <t>S&amp;P</t>
    </r>
  </si>
  <si>
    <r>
      <t>3mTB (R</t>
    </r>
    <r>
      <rPr>
        <sz val="6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 mensualizada</t>
    </r>
  </si>
  <si>
    <r>
      <t>R</t>
    </r>
    <r>
      <rPr>
        <sz val="6"/>
        <color theme="1"/>
        <rFont val="Calibri"/>
        <family val="2"/>
        <scheme val="minor"/>
      </rPr>
      <t>IBM</t>
    </r>
    <r>
      <rPr>
        <sz val="11"/>
        <color theme="1"/>
        <rFont val="Calibri"/>
        <family val="2"/>
        <scheme val="minor"/>
      </rPr>
      <t xml:space="preserve">  -  R</t>
    </r>
    <r>
      <rPr>
        <sz val="6"/>
        <color theme="1"/>
        <rFont val="Calibri"/>
        <family val="2"/>
        <scheme val="minor"/>
      </rPr>
      <t>F</t>
    </r>
  </si>
  <si>
    <r>
      <t>R</t>
    </r>
    <r>
      <rPr>
        <sz val="6"/>
        <color theme="1"/>
        <rFont val="Calibri"/>
        <family val="2"/>
        <scheme val="minor"/>
      </rPr>
      <t>S&amp;P</t>
    </r>
    <r>
      <rPr>
        <sz val="11"/>
        <color theme="1"/>
        <rFont val="Calibri"/>
        <family val="2"/>
        <scheme val="minor"/>
      </rPr>
      <t xml:space="preserve">   -  R</t>
    </r>
    <r>
      <rPr>
        <sz val="6"/>
        <color theme="1"/>
        <rFont val="Calibri"/>
        <family val="2"/>
        <scheme val="minor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</si>
</sst>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9467-178B-4C8B-B9CA-1332EC55C159}">
  <dimension ref="A1:I61"/>
  <sheetViews>
    <sheetView tabSelected="1" workbookViewId="0"/>
  </sheetViews>
  <sheetFormatPr baseColWidth="10" defaultRowHeight="15" x14ac:dyDescent="0.25"/>
  <cols>
    <col min="2" max="3" width="16.28515625" customWidth="1"/>
    <col min="4" max="4" width="26.570312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 s="2">
        <v>43586</v>
      </c>
      <c r="B2">
        <v>95.365470999999999</v>
      </c>
      <c r="C2">
        <v>2752.0600589999999</v>
      </c>
      <c r="D2" s="1">
        <v>2.2930000000000001</v>
      </c>
      <c r="G2">
        <f t="shared" ref="G2:G61" si="0">+(1+D2/100)^(1/12)-1</f>
        <v>1.8910406356302811E-3</v>
      </c>
      <c r="H2" t="s">
        <v>7</v>
      </c>
      <c r="I2" t="s">
        <v>8</v>
      </c>
    </row>
    <row r="3" spans="1:9" x14ac:dyDescent="0.25">
      <c r="A3" s="2">
        <v>43617</v>
      </c>
      <c r="B3">
        <v>104.788651</v>
      </c>
      <c r="C3">
        <v>2941.76001</v>
      </c>
      <c r="D3" s="1">
        <v>2.0350000000000001</v>
      </c>
      <c r="E3">
        <f>+B3/B2-1</f>
        <v>9.8811235357921134E-2</v>
      </c>
      <c r="F3">
        <f>+C3/C2-1</f>
        <v>6.8930163925612131E-2</v>
      </c>
      <c r="G3">
        <f t="shared" si="0"/>
        <v>1.6802187961761916E-3</v>
      </c>
      <c r="H3">
        <f t="shared" ref="H3:I34" si="1">+E3-$G3</f>
        <v>9.7131016561744943E-2</v>
      </c>
      <c r="I3">
        <f t="shared" si="1"/>
        <v>6.724994512943594E-2</v>
      </c>
    </row>
    <row r="4" spans="1:9" x14ac:dyDescent="0.25">
      <c r="A4" s="2">
        <v>43647</v>
      </c>
      <c r="B4">
        <v>112.645882</v>
      </c>
      <c r="C4">
        <v>2980.3798830000001</v>
      </c>
      <c r="D4" s="1">
        <v>2.0299999999999998</v>
      </c>
      <c r="E4">
        <f t="shared" ref="E4:F61" si="2">+B4/B3-1</f>
        <v>7.4981698161187271E-2</v>
      </c>
      <c r="F4">
        <f t="shared" si="2"/>
        <v>1.3128152149977756E-2</v>
      </c>
      <c r="G4">
        <f t="shared" si="0"/>
        <v>1.6761282769228725E-3</v>
      </c>
      <c r="H4">
        <f t="shared" si="1"/>
        <v>7.3305569884264399E-2</v>
      </c>
      <c r="I4">
        <f t="shared" si="1"/>
        <v>1.1452023873054884E-2</v>
      </c>
    </row>
    <row r="5" spans="1:9" x14ac:dyDescent="0.25">
      <c r="A5" s="2">
        <v>43678</v>
      </c>
      <c r="B5">
        <v>102.987724</v>
      </c>
      <c r="C5">
        <v>2926.459961</v>
      </c>
      <c r="D5" s="1">
        <v>1.9330000000000001</v>
      </c>
      <c r="E5">
        <f t="shared" si="2"/>
        <v>-8.5739112948665097E-2</v>
      </c>
      <c r="F5">
        <f t="shared" si="2"/>
        <v>-1.8091627281326739E-2</v>
      </c>
      <c r="G5">
        <f t="shared" si="0"/>
        <v>1.5967358207888971E-3</v>
      </c>
      <c r="H5">
        <f t="shared" si="1"/>
        <v>-8.7335848769453994E-2</v>
      </c>
      <c r="I5">
        <f t="shared" si="1"/>
        <v>-1.9688363102115636E-2</v>
      </c>
    </row>
    <row r="6" spans="1:9" x14ac:dyDescent="0.25">
      <c r="A6" s="2">
        <v>43709</v>
      </c>
      <c r="B6">
        <v>111.805038</v>
      </c>
      <c r="C6">
        <v>2976.73999</v>
      </c>
      <c r="D6" s="1">
        <v>1.77</v>
      </c>
      <c r="E6">
        <f t="shared" si="2"/>
        <v>8.5615194292476993E-2</v>
      </c>
      <c r="F6">
        <f t="shared" si="2"/>
        <v>1.7181177829208583E-2</v>
      </c>
      <c r="G6">
        <f t="shared" si="0"/>
        <v>1.4631676547709471E-3</v>
      </c>
      <c r="H6">
        <f t="shared" si="1"/>
        <v>8.4152026637706046E-2</v>
      </c>
      <c r="I6">
        <f t="shared" si="1"/>
        <v>1.5718010174437635E-2</v>
      </c>
    </row>
    <row r="7" spans="1:9" x14ac:dyDescent="0.25">
      <c r="A7" s="2">
        <v>43739</v>
      </c>
      <c r="B7">
        <v>102.817261</v>
      </c>
      <c r="C7">
        <v>3037.5600589999999</v>
      </c>
      <c r="D7" s="1">
        <v>1.498</v>
      </c>
      <c r="E7">
        <f t="shared" si="2"/>
        <v>-8.0387942804509338E-2</v>
      </c>
      <c r="F7">
        <f t="shared" si="2"/>
        <v>2.0431770730503063E-2</v>
      </c>
      <c r="G7">
        <f t="shared" si="0"/>
        <v>1.2398436269087654E-3</v>
      </c>
      <c r="H7">
        <f t="shared" si="1"/>
        <v>-8.1627786431418103E-2</v>
      </c>
      <c r="I7">
        <f t="shared" si="1"/>
        <v>1.9191927103594297E-2</v>
      </c>
    </row>
    <row r="8" spans="1:9" x14ac:dyDescent="0.25">
      <c r="A8" s="2">
        <v>43770</v>
      </c>
      <c r="B8">
        <v>103.37082700000001</v>
      </c>
      <c r="C8">
        <v>3140.9799800000001</v>
      </c>
      <c r="D8" s="1">
        <v>1.54</v>
      </c>
      <c r="E8">
        <f t="shared" si="2"/>
        <v>5.3839792522776264E-3</v>
      </c>
      <c r="F8">
        <f t="shared" si="2"/>
        <v>3.4047037421886195E-2</v>
      </c>
      <c r="G8">
        <f t="shared" si="0"/>
        <v>1.2743632726075482E-3</v>
      </c>
      <c r="H8">
        <f t="shared" si="1"/>
        <v>4.1096159796700782E-3</v>
      </c>
      <c r="I8">
        <f t="shared" si="1"/>
        <v>3.2772674149278647E-2</v>
      </c>
    </row>
    <row r="9" spans="1:9" x14ac:dyDescent="0.25">
      <c r="A9" s="2">
        <v>43800</v>
      </c>
      <c r="B9">
        <v>104.27280399999999</v>
      </c>
      <c r="C9">
        <v>3230.780029</v>
      </c>
      <c r="D9" s="1">
        <v>1.5049999999999999</v>
      </c>
      <c r="E9">
        <f t="shared" si="2"/>
        <v>8.7256436479896671E-3</v>
      </c>
      <c r="F9">
        <f t="shared" si="2"/>
        <v>2.8589818964716907E-2</v>
      </c>
      <c r="G9">
        <f t="shared" si="0"/>
        <v>1.2455978103835808E-3</v>
      </c>
      <c r="H9">
        <f t="shared" si="1"/>
        <v>7.4800458376060863E-3</v>
      </c>
      <c r="I9">
        <f t="shared" si="1"/>
        <v>2.7344221154333326E-2</v>
      </c>
    </row>
    <row r="10" spans="1:9" x14ac:dyDescent="0.25">
      <c r="A10" s="2">
        <v>43831</v>
      </c>
      <c r="B10">
        <v>111.810883</v>
      </c>
      <c r="C10">
        <v>3225.5200199999999</v>
      </c>
      <c r="D10" s="1">
        <v>1.51</v>
      </c>
      <c r="E10">
        <f t="shared" si="2"/>
        <v>7.2291898854086822E-2</v>
      </c>
      <c r="F10">
        <f t="shared" si="2"/>
        <v>-1.6280925822201864E-3</v>
      </c>
      <c r="G10">
        <f t="shared" si="0"/>
        <v>1.2497077187358929E-3</v>
      </c>
      <c r="H10">
        <f t="shared" si="1"/>
        <v>7.1042191135350929E-2</v>
      </c>
      <c r="I10">
        <f t="shared" si="1"/>
        <v>-2.8778003009560793E-3</v>
      </c>
    </row>
    <row r="11" spans="1:9" x14ac:dyDescent="0.25">
      <c r="A11" s="2">
        <v>43862</v>
      </c>
      <c r="B11">
        <v>101.246689</v>
      </c>
      <c r="C11">
        <v>2954.219971</v>
      </c>
      <c r="D11" s="1">
        <v>1.23</v>
      </c>
      <c r="E11">
        <f t="shared" si="2"/>
        <v>-9.4482698969473256E-2</v>
      </c>
      <c r="F11">
        <f t="shared" si="2"/>
        <v>-8.411048367946572E-2</v>
      </c>
      <c r="G11">
        <f t="shared" si="0"/>
        <v>1.0192665680117674E-3</v>
      </c>
      <c r="H11">
        <f t="shared" si="1"/>
        <v>-9.5501965537485023E-2</v>
      </c>
      <c r="I11">
        <f t="shared" si="1"/>
        <v>-8.5129750247477487E-2</v>
      </c>
    </row>
    <row r="12" spans="1:9" x14ac:dyDescent="0.25">
      <c r="A12" s="2">
        <v>43891</v>
      </c>
      <c r="B12">
        <v>87.196113999999994</v>
      </c>
      <c r="C12">
        <v>2584.5900879999999</v>
      </c>
      <c r="D12" s="1">
        <v>0.03</v>
      </c>
      <c r="E12">
        <f t="shared" si="2"/>
        <v>-0.13877564924616947</v>
      </c>
      <c r="F12">
        <f t="shared" si="2"/>
        <v>-0.12511928245982329</v>
      </c>
      <c r="G12">
        <f t="shared" si="0"/>
        <v>2.4996563158685703E-5</v>
      </c>
      <c r="H12">
        <f t="shared" si="1"/>
        <v>-0.13880064580932816</v>
      </c>
      <c r="I12">
        <f t="shared" si="1"/>
        <v>-0.12514427902298197</v>
      </c>
    </row>
    <row r="13" spans="1:9" x14ac:dyDescent="0.25">
      <c r="A13" s="2">
        <v>43922</v>
      </c>
      <c r="B13">
        <v>98.695960999999997</v>
      </c>
      <c r="C13">
        <v>2912.429932</v>
      </c>
      <c r="D13" s="1">
        <v>0.09</v>
      </c>
      <c r="E13">
        <f t="shared" si="2"/>
        <v>0.13188485670359129</v>
      </c>
      <c r="F13">
        <f t="shared" si="2"/>
        <v>0.12684403825663826</v>
      </c>
      <c r="G13">
        <f t="shared" si="0"/>
        <v>7.4969080277487166E-5</v>
      </c>
      <c r="H13">
        <f t="shared" si="1"/>
        <v>0.1318098876233138</v>
      </c>
      <c r="I13">
        <f t="shared" si="1"/>
        <v>0.12676906917636077</v>
      </c>
    </row>
    <row r="14" spans="1:9" x14ac:dyDescent="0.25">
      <c r="A14" s="2">
        <v>43952</v>
      </c>
      <c r="B14">
        <v>98.177184999999994</v>
      </c>
      <c r="C14">
        <v>3044.3100589999999</v>
      </c>
      <c r="D14" s="1">
        <v>0.128</v>
      </c>
      <c r="E14">
        <f t="shared" si="2"/>
        <v>-5.2563042574761409E-3</v>
      </c>
      <c r="F14">
        <f t="shared" si="2"/>
        <v>4.5281819676065593E-2</v>
      </c>
      <c r="G14">
        <f t="shared" si="0"/>
        <v>1.0660414001595342E-4</v>
      </c>
      <c r="H14">
        <f t="shared" si="1"/>
        <v>-5.3629083974920944E-3</v>
      </c>
      <c r="I14">
        <f t="shared" si="1"/>
        <v>4.517521553604964E-2</v>
      </c>
    </row>
    <row r="15" spans="1:9" x14ac:dyDescent="0.25">
      <c r="A15" s="2">
        <v>43983</v>
      </c>
      <c r="B15">
        <v>96.203934000000004</v>
      </c>
      <c r="C15">
        <v>3100.290039</v>
      </c>
      <c r="D15" s="1">
        <v>0.13500000000000001</v>
      </c>
      <c r="E15">
        <f t="shared" si="2"/>
        <v>-2.0098875314055853E-2</v>
      </c>
      <c r="F15">
        <f t="shared" si="2"/>
        <v>1.8388396357494674E-2</v>
      </c>
      <c r="G15">
        <f t="shared" si="0"/>
        <v>1.1243045060393975E-4</v>
      </c>
      <c r="H15">
        <f t="shared" si="1"/>
        <v>-2.0211305764659793E-2</v>
      </c>
      <c r="I15">
        <f t="shared" si="1"/>
        <v>1.8275965906890734E-2</v>
      </c>
    </row>
    <row r="16" spans="1:9" x14ac:dyDescent="0.25">
      <c r="A16" s="2">
        <v>44013</v>
      </c>
      <c r="B16">
        <v>97.932541000000001</v>
      </c>
      <c r="C16">
        <v>3271.1201169999999</v>
      </c>
      <c r="D16" s="1">
        <v>8.3000000000000004E-2</v>
      </c>
      <c r="E16">
        <f t="shared" si="2"/>
        <v>1.7968152944764171E-2</v>
      </c>
      <c r="F16">
        <f t="shared" si="2"/>
        <v>5.5101321441235696E-2</v>
      </c>
      <c r="G16">
        <f t="shared" si="0"/>
        <v>6.9140368458286972E-5</v>
      </c>
      <c r="H16">
        <f t="shared" si="1"/>
        <v>1.7899012576305884E-2</v>
      </c>
      <c r="I16">
        <f t="shared" si="1"/>
        <v>5.5032181072777409E-2</v>
      </c>
    </row>
    <row r="17" spans="1:9" x14ac:dyDescent="0.25">
      <c r="A17" s="2">
        <v>44044</v>
      </c>
      <c r="B17">
        <v>98.227279999999993</v>
      </c>
      <c r="C17">
        <v>3500.3100589999999</v>
      </c>
      <c r="D17" s="1">
        <v>9.5000000000000001E-2</v>
      </c>
      <c r="E17">
        <f t="shared" si="2"/>
        <v>3.009612504591308E-3</v>
      </c>
      <c r="F17">
        <f t="shared" si="2"/>
        <v>7.0064667087246457E-2</v>
      </c>
      <c r="G17">
        <f t="shared" si="0"/>
        <v>7.9132217087662937E-5</v>
      </c>
      <c r="H17">
        <f t="shared" si="1"/>
        <v>2.9304802875036451E-3</v>
      </c>
      <c r="I17">
        <f t="shared" si="1"/>
        <v>6.9985534870158794E-2</v>
      </c>
    </row>
    <row r="18" spans="1:9" x14ac:dyDescent="0.25">
      <c r="A18" s="2">
        <v>44075</v>
      </c>
      <c r="B18">
        <v>98.189896000000005</v>
      </c>
      <c r="C18">
        <v>3363</v>
      </c>
      <c r="D18" s="1">
        <v>8.5000000000000006E-2</v>
      </c>
      <c r="E18">
        <f t="shared" si="2"/>
        <v>-3.8058673720775538E-4</v>
      </c>
      <c r="F18">
        <f t="shared" si="2"/>
        <v>-3.9227970289931413E-2</v>
      </c>
      <c r="G18">
        <f t="shared" si="0"/>
        <v>7.0805752823810408E-5</v>
      </c>
      <c r="H18">
        <f t="shared" si="1"/>
        <v>-4.5139249003156579E-4</v>
      </c>
      <c r="I18">
        <f t="shared" si="1"/>
        <v>-3.9298776042755224E-2</v>
      </c>
    </row>
    <row r="19" spans="1:9" x14ac:dyDescent="0.25">
      <c r="A19" s="2">
        <v>44105</v>
      </c>
      <c r="B19">
        <v>90.111641000000006</v>
      </c>
      <c r="C19">
        <v>3269.959961</v>
      </c>
      <c r="D19" s="1">
        <v>8.3000000000000004E-2</v>
      </c>
      <c r="E19">
        <f t="shared" si="2"/>
        <v>-8.2271754315739298E-2</v>
      </c>
      <c r="F19">
        <f t="shared" si="2"/>
        <v>-2.766578620279514E-2</v>
      </c>
      <c r="G19">
        <f t="shared" si="0"/>
        <v>6.9140368458286972E-5</v>
      </c>
      <c r="H19">
        <f t="shared" si="1"/>
        <v>-8.2340894684197585E-2</v>
      </c>
      <c r="I19">
        <f t="shared" si="1"/>
        <v>-2.7734926571253427E-2</v>
      </c>
    </row>
    <row r="20" spans="1:9" x14ac:dyDescent="0.25">
      <c r="A20" s="2">
        <v>44136</v>
      </c>
      <c r="B20">
        <v>99.682884000000001</v>
      </c>
      <c r="C20">
        <v>3621.6298830000001</v>
      </c>
      <c r="D20" s="1">
        <v>7.4999999999999997E-2</v>
      </c>
      <c r="E20">
        <f t="shared" si="2"/>
        <v>0.10621538897510474</v>
      </c>
      <c r="F20">
        <f t="shared" si="2"/>
        <v>0.10754563548003038</v>
      </c>
      <c r="G20">
        <f t="shared" si="0"/>
        <v>6.2478525914011485E-5</v>
      </c>
      <c r="H20">
        <f t="shared" si="1"/>
        <v>0.10615291044919073</v>
      </c>
      <c r="I20">
        <f t="shared" si="1"/>
        <v>0.10748315695411637</v>
      </c>
    </row>
    <row r="21" spans="1:9" x14ac:dyDescent="0.25">
      <c r="A21" s="2">
        <v>44166</v>
      </c>
      <c r="B21">
        <v>103.060524</v>
      </c>
      <c r="C21">
        <v>3756.070068</v>
      </c>
      <c r="D21" s="1">
        <v>6.5000000000000002E-2</v>
      </c>
      <c r="E21">
        <f t="shared" si="2"/>
        <v>3.3883851113296393E-2</v>
      </c>
      <c r="F21">
        <f t="shared" si="2"/>
        <v>3.7121458940645669E-2</v>
      </c>
      <c r="G21">
        <f t="shared" si="0"/>
        <v>5.4150536212160816E-5</v>
      </c>
      <c r="H21">
        <f t="shared" si="1"/>
        <v>3.3829700577084232E-2</v>
      </c>
      <c r="I21">
        <f t="shared" si="1"/>
        <v>3.7067308404433508E-2</v>
      </c>
    </row>
    <row r="22" spans="1:9" x14ac:dyDescent="0.25">
      <c r="A22" s="2">
        <v>44197</v>
      </c>
      <c r="B22">
        <v>97.517784000000006</v>
      </c>
      <c r="C22">
        <v>3714.23999</v>
      </c>
      <c r="D22" s="1">
        <v>4.8000000000000001E-2</v>
      </c>
      <c r="E22">
        <f t="shared" si="2"/>
        <v>-5.3781407127330261E-2</v>
      </c>
      <c r="F22">
        <f t="shared" si="2"/>
        <v>-1.1136660723231162E-2</v>
      </c>
      <c r="G22">
        <f t="shared" si="0"/>
        <v>3.9991202697819972E-5</v>
      </c>
      <c r="H22">
        <f t="shared" si="1"/>
        <v>-5.3821398330028081E-2</v>
      </c>
      <c r="I22">
        <f t="shared" si="1"/>
        <v>-1.1176651925928982E-2</v>
      </c>
    </row>
    <row r="23" spans="1:9" x14ac:dyDescent="0.25">
      <c r="A23" s="2">
        <v>44228</v>
      </c>
      <c r="B23">
        <v>97.370407</v>
      </c>
      <c r="C23">
        <v>3811.1499020000001</v>
      </c>
      <c r="D23" s="1">
        <v>3.5000000000000003E-2</v>
      </c>
      <c r="E23">
        <f t="shared" si="2"/>
        <v>-1.5112833162821415E-3</v>
      </c>
      <c r="F23">
        <f t="shared" si="2"/>
        <v>2.6091451349647521E-2</v>
      </c>
      <c r="G23">
        <f t="shared" si="0"/>
        <v>2.9161988893244839E-5</v>
      </c>
      <c r="H23">
        <f t="shared" si="1"/>
        <v>-1.5404453051753864E-3</v>
      </c>
      <c r="I23">
        <f t="shared" si="1"/>
        <v>2.6062289360754276E-2</v>
      </c>
    </row>
    <row r="24" spans="1:9" x14ac:dyDescent="0.25">
      <c r="A24" s="2">
        <v>44256</v>
      </c>
      <c r="B24">
        <v>110.56057699999999</v>
      </c>
      <c r="C24">
        <v>3972.889893</v>
      </c>
      <c r="D24" s="1">
        <v>1.2999999999999999E-2</v>
      </c>
      <c r="E24">
        <f t="shared" si="2"/>
        <v>0.13546384786088028</v>
      </c>
      <c r="F24">
        <f t="shared" si="2"/>
        <v>4.2438632737883841E-2</v>
      </c>
      <c r="G24">
        <f t="shared" si="0"/>
        <v>1.0832687900919069E-5</v>
      </c>
      <c r="H24">
        <f t="shared" si="1"/>
        <v>0.13545301517297936</v>
      </c>
      <c r="I24">
        <f t="shared" si="1"/>
        <v>4.2427800049982922E-2</v>
      </c>
    </row>
    <row r="25" spans="1:9" x14ac:dyDescent="0.25">
      <c r="A25" s="2">
        <v>44287</v>
      </c>
      <c r="B25">
        <v>117.712273</v>
      </c>
      <c r="C25">
        <v>4181.169922</v>
      </c>
      <c r="D25" s="1">
        <v>3.0000000000000001E-3</v>
      </c>
      <c r="E25">
        <f t="shared" si="2"/>
        <v>6.468576950353655E-2</v>
      </c>
      <c r="F25">
        <f t="shared" si="2"/>
        <v>5.2425321267266289E-2</v>
      </c>
      <c r="G25">
        <f t="shared" si="0"/>
        <v>2.4999656256241565E-6</v>
      </c>
      <c r="H25">
        <f t="shared" si="1"/>
        <v>6.4683269537910926E-2</v>
      </c>
      <c r="I25">
        <f t="shared" si="1"/>
        <v>5.2422821301640665E-2</v>
      </c>
    </row>
    <row r="26" spans="1:9" x14ac:dyDescent="0.25">
      <c r="A26" s="2">
        <v>44317</v>
      </c>
      <c r="B26">
        <v>119.25543999999999</v>
      </c>
      <c r="C26">
        <v>4204.1098629999997</v>
      </c>
      <c r="D26" s="1">
        <v>8.0000000000000002E-3</v>
      </c>
      <c r="E26">
        <f t="shared" si="2"/>
        <v>1.3109652550843176E-2</v>
      </c>
      <c r="F26">
        <f t="shared" si="2"/>
        <v>5.4864885732810453E-3</v>
      </c>
      <c r="G26">
        <f t="shared" si="0"/>
        <v>6.6664222346801694E-6</v>
      </c>
      <c r="H26">
        <f t="shared" si="1"/>
        <v>1.3102986128608496E-2</v>
      </c>
      <c r="I26">
        <f t="shared" si="1"/>
        <v>5.4798221510463652E-3</v>
      </c>
    </row>
    <row r="27" spans="1:9" x14ac:dyDescent="0.25">
      <c r="A27" s="2">
        <v>44348</v>
      </c>
      <c r="B27">
        <v>122.97885100000001</v>
      </c>
      <c r="C27">
        <v>4297.5</v>
      </c>
      <c r="D27" s="1">
        <v>0.04</v>
      </c>
      <c r="E27">
        <f t="shared" si="2"/>
        <v>3.1222148021088358E-2</v>
      </c>
      <c r="F27">
        <f t="shared" si="2"/>
        <v>2.2214009634219822E-2</v>
      </c>
      <c r="G27">
        <f t="shared" si="0"/>
        <v>3.3327223783574667E-5</v>
      </c>
      <c r="H27">
        <f t="shared" si="1"/>
        <v>3.1188820797304784E-2</v>
      </c>
      <c r="I27">
        <f t="shared" si="1"/>
        <v>2.2180682410436248E-2</v>
      </c>
    </row>
    <row r="28" spans="1:9" x14ac:dyDescent="0.25">
      <c r="A28" s="2">
        <v>44378</v>
      </c>
      <c r="B28">
        <v>118.25567599999999</v>
      </c>
      <c r="C28">
        <v>4395.2597660000001</v>
      </c>
      <c r="D28" s="1">
        <v>0.04</v>
      </c>
      <c r="E28">
        <f t="shared" si="2"/>
        <v>-3.8406400463117163E-2</v>
      </c>
      <c r="F28">
        <f t="shared" si="2"/>
        <v>2.2748054915648686E-2</v>
      </c>
      <c r="G28">
        <f t="shared" si="0"/>
        <v>3.3327223783574667E-5</v>
      </c>
      <c r="H28">
        <f t="shared" si="1"/>
        <v>-3.8439727686900738E-2</v>
      </c>
      <c r="I28">
        <f t="shared" si="1"/>
        <v>2.2714727691865111E-2</v>
      </c>
    </row>
    <row r="29" spans="1:9" x14ac:dyDescent="0.25">
      <c r="A29" s="2">
        <v>44409</v>
      </c>
      <c r="B29">
        <v>117.735519</v>
      </c>
      <c r="C29">
        <v>4522.6801759999998</v>
      </c>
      <c r="D29" s="1">
        <v>0.04</v>
      </c>
      <c r="E29">
        <f t="shared" si="2"/>
        <v>-4.3985795658552096E-3</v>
      </c>
      <c r="F29">
        <f t="shared" si="2"/>
        <v>2.8990416217415271E-2</v>
      </c>
      <c r="G29">
        <f t="shared" si="0"/>
        <v>3.3327223783574667E-5</v>
      </c>
      <c r="H29">
        <f t="shared" si="1"/>
        <v>-4.4319067896387843E-3</v>
      </c>
      <c r="I29">
        <f t="shared" si="1"/>
        <v>2.8957088993631697E-2</v>
      </c>
    </row>
    <row r="30" spans="1:9" x14ac:dyDescent="0.25">
      <c r="A30" s="2">
        <v>44440</v>
      </c>
      <c r="B30">
        <v>117.894485</v>
      </c>
      <c r="C30">
        <v>4307.5400390000004</v>
      </c>
      <c r="D30" s="1">
        <v>2.8000000000000001E-2</v>
      </c>
      <c r="E30">
        <f t="shared" si="2"/>
        <v>1.3501957722716895E-3</v>
      </c>
      <c r="F30">
        <f t="shared" si="2"/>
        <v>-4.7569168861786748E-2</v>
      </c>
      <c r="G30">
        <f t="shared" si="0"/>
        <v>2.3330339424365576E-5</v>
      </c>
      <c r="H30">
        <f t="shared" si="1"/>
        <v>1.3268654328473239E-3</v>
      </c>
      <c r="I30">
        <f t="shared" si="1"/>
        <v>-4.7592499201211114E-2</v>
      </c>
    </row>
    <row r="31" spans="1:9" x14ac:dyDescent="0.25">
      <c r="A31" s="2">
        <v>44470</v>
      </c>
      <c r="B31">
        <v>106.158508</v>
      </c>
      <c r="C31">
        <v>4605.3798829999996</v>
      </c>
      <c r="D31" s="1">
        <v>4.8000000000000001E-2</v>
      </c>
      <c r="E31">
        <f t="shared" si="2"/>
        <v>-9.9546446129350374E-2</v>
      </c>
      <c r="F31">
        <f t="shared" si="2"/>
        <v>6.9143836459647501E-2</v>
      </c>
      <c r="G31">
        <f t="shared" si="0"/>
        <v>3.9991202697819972E-5</v>
      </c>
      <c r="H31">
        <f t="shared" si="1"/>
        <v>-9.9586437332048194E-2</v>
      </c>
      <c r="I31">
        <f t="shared" si="1"/>
        <v>6.9103845256949681E-2</v>
      </c>
    </row>
    <row r="32" spans="1:9" x14ac:dyDescent="0.25">
      <c r="A32" s="2">
        <v>44501</v>
      </c>
      <c r="B32">
        <v>103.940804</v>
      </c>
      <c r="C32">
        <v>4567</v>
      </c>
      <c r="D32" s="1">
        <v>4.8000000000000001E-2</v>
      </c>
      <c r="E32">
        <f t="shared" si="2"/>
        <v>-2.0890497066895497E-2</v>
      </c>
      <c r="F32">
        <f t="shared" si="2"/>
        <v>-8.3337062251199745E-3</v>
      </c>
      <c r="G32">
        <f t="shared" si="0"/>
        <v>3.9991202697819972E-5</v>
      </c>
      <c r="H32">
        <f t="shared" si="1"/>
        <v>-2.0930488269593317E-2</v>
      </c>
      <c r="I32">
        <f t="shared" si="1"/>
        <v>-8.3736974278177945E-3</v>
      </c>
    </row>
    <row r="33" spans="1:9" x14ac:dyDescent="0.25">
      <c r="A33" s="2">
        <v>44531</v>
      </c>
      <c r="B33">
        <v>120.22302999999999</v>
      </c>
      <c r="C33">
        <v>4766.1801759999998</v>
      </c>
      <c r="D33" s="1">
        <v>3.3000000000000002E-2</v>
      </c>
      <c r="E33">
        <f t="shared" si="2"/>
        <v>0.15664902880681963</v>
      </c>
      <c r="F33">
        <f t="shared" si="2"/>
        <v>4.361291350996277E-2</v>
      </c>
      <c r="G33">
        <f t="shared" si="0"/>
        <v>2.7495841501634644E-5</v>
      </c>
      <c r="H33">
        <f t="shared" si="1"/>
        <v>0.156621532965318</v>
      </c>
      <c r="I33">
        <f t="shared" si="1"/>
        <v>4.3585417668461135E-2</v>
      </c>
    </row>
    <row r="34" spans="1:9" x14ac:dyDescent="0.25">
      <c r="A34" s="2">
        <v>44562</v>
      </c>
      <c r="B34">
        <v>120.14207500000001</v>
      </c>
      <c r="C34">
        <v>4515.5498049999997</v>
      </c>
      <c r="D34" s="1">
        <v>0.17299999999999999</v>
      </c>
      <c r="E34">
        <f t="shared" si="2"/>
        <v>-6.7337347927420854E-4</v>
      </c>
      <c r="F34">
        <f t="shared" si="2"/>
        <v>-5.258516500531063E-2</v>
      </c>
      <c r="G34">
        <f t="shared" si="0"/>
        <v>1.4405248070148424E-4</v>
      </c>
      <c r="H34">
        <f t="shared" si="1"/>
        <v>-8.1742595997569278E-4</v>
      </c>
      <c r="I34">
        <f t="shared" si="1"/>
        <v>-5.2729217486012114E-2</v>
      </c>
    </row>
    <row r="35" spans="1:9" x14ac:dyDescent="0.25">
      <c r="A35" s="2">
        <v>44593</v>
      </c>
      <c r="B35">
        <v>110.193939</v>
      </c>
      <c r="C35">
        <v>4373.9399409999996</v>
      </c>
      <c r="D35" s="1">
        <v>0.28799999999999998</v>
      </c>
      <c r="E35">
        <f t="shared" si="2"/>
        <v>-8.2803097915530421E-2</v>
      </c>
      <c r="F35">
        <f t="shared" si="2"/>
        <v>-3.1360492102910142E-2</v>
      </c>
      <c r="G35">
        <f t="shared" si="0"/>
        <v>2.396837816907027E-4</v>
      </c>
      <c r="H35">
        <f t="shared" ref="H35:I61" si="3">+E35-$G35</f>
        <v>-8.3042781697221124E-2</v>
      </c>
      <c r="I35">
        <f t="shared" si="3"/>
        <v>-3.1600175884600845E-2</v>
      </c>
    </row>
    <row r="36" spans="1:9" x14ac:dyDescent="0.25">
      <c r="A36" s="2">
        <v>44621</v>
      </c>
      <c r="B36">
        <v>118.357658</v>
      </c>
      <c r="C36">
        <v>4530.4101559999999</v>
      </c>
      <c r="D36" s="1">
        <v>0.49299999999999999</v>
      </c>
      <c r="E36">
        <f t="shared" si="2"/>
        <v>7.4085009339760477E-2</v>
      </c>
      <c r="F36">
        <f t="shared" si="2"/>
        <v>3.5773288410591908E-2</v>
      </c>
      <c r="G36">
        <f t="shared" si="0"/>
        <v>4.0990793463557829E-4</v>
      </c>
      <c r="H36">
        <f t="shared" si="3"/>
        <v>7.3675101405124899E-2</v>
      </c>
      <c r="I36">
        <f t="shared" si="3"/>
        <v>3.536338047595633E-2</v>
      </c>
    </row>
    <row r="37" spans="1:9" x14ac:dyDescent="0.25">
      <c r="A37" s="2">
        <v>44652</v>
      </c>
      <c r="B37">
        <v>120.351242</v>
      </c>
      <c r="C37">
        <v>4131.9301759999998</v>
      </c>
      <c r="D37" s="1">
        <v>0.80800000000000005</v>
      </c>
      <c r="E37">
        <f t="shared" si="2"/>
        <v>1.6843726326521313E-2</v>
      </c>
      <c r="F37">
        <f t="shared" si="2"/>
        <v>-8.7956711705729274E-2</v>
      </c>
      <c r="G37">
        <f t="shared" si="0"/>
        <v>6.7085255259513588E-4</v>
      </c>
      <c r="H37">
        <f t="shared" si="3"/>
        <v>1.6172873773926177E-2</v>
      </c>
      <c r="I37">
        <f t="shared" si="3"/>
        <v>-8.8627564258324409E-2</v>
      </c>
    </row>
    <row r="38" spans="1:9" x14ac:dyDescent="0.25">
      <c r="A38" s="2">
        <v>44682</v>
      </c>
      <c r="B38">
        <v>126.386528</v>
      </c>
      <c r="C38">
        <v>4132.1499020000001</v>
      </c>
      <c r="D38" s="1">
        <v>1.03</v>
      </c>
      <c r="E38">
        <f t="shared" si="2"/>
        <v>5.0147268110452892E-2</v>
      </c>
      <c r="F38">
        <f t="shared" si="2"/>
        <v>5.3177568506868056E-5</v>
      </c>
      <c r="G38">
        <f t="shared" si="0"/>
        <v>8.543077507923158E-4</v>
      </c>
      <c r="H38">
        <f t="shared" si="3"/>
        <v>4.9292960359660576E-2</v>
      </c>
      <c r="I38">
        <f t="shared" si="3"/>
        <v>-8.0113018228544775E-4</v>
      </c>
    </row>
    <row r="39" spans="1:9" x14ac:dyDescent="0.25">
      <c r="A39" s="2">
        <v>44713</v>
      </c>
      <c r="B39">
        <v>130.08483899999999</v>
      </c>
      <c r="C39">
        <v>3785.3798830000001</v>
      </c>
      <c r="D39" s="1">
        <v>1.6</v>
      </c>
      <c r="E39">
        <f t="shared" si="2"/>
        <v>2.9261908357827382E-2</v>
      </c>
      <c r="F39">
        <f t="shared" si="2"/>
        <v>-8.3919999812243073E-2</v>
      </c>
      <c r="G39">
        <f t="shared" si="0"/>
        <v>1.323654354508319E-3</v>
      </c>
      <c r="H39">
        <f t="shared" si="3"/>
        <v>2.7938254003319063E-2</v>
      </c>
      <c r="I39">
        <f t="shared" si="3"/>
        <v>-8.5243654166751393E-2</v>
      </c>
    </row>
    <row r="40" spans="1:9" x14ac:dyDescent="0.25">
      <c r="A40" s="2">
        <v>44743</v>
      </c>
      <c r="B40">
        <v>120.502831</v>
      </c>
      <c r="C40">
        <v>4130.2900390000004</v>
      </c>
      <c r="D40" s="1">
        <v>2.298</v>
      </c>
      <c r="E40">
        <f t="shared" si="2"/>
        <v>-7.3659682970434348E-2</v>
      </c>
      <c r="F40">
        <f t="shared" si="2"/>
        <v>9.1116391659653351E-2</v>
      </c>
      <c r="G40">
        <f t="shared" si="0"/>
        <v>1.8951215135822874E-3</v>
      </c>
      <c r="H40">
        <f t="shared" si="3"/>
        <v>-7.5554804484016636E-2</v>
      </c>
      <c r="I40">
        <f t="shared" si="3"/>
        <v>8.9221270146071063E-2</v>
      </c>
    </row>
    <row r="41" spans="1:9" x14ac:dyDescent="0.25">
      <c r="A41" s="2">
        <v>44774</v>
      </c>
      <c r="B41">
        <v>118.346886</v>
      </c>
      <c r="C41">
        <v>3955</v>
      </c>
      <c r="D41" s="1">
        <v>2.86</v>
      </c>
      <c r="E41">
        <f t="shared" si="2"/>
        <v>-1.7891239418267313E-2</v>
      </c>
      <c r="F41">
        <f t="shared" si="2"/>
        <v>-4.2440128258508625E-2</v>
      </c>
      <c r="G41">
        <f t="shared" si="0"/>
        <v>2.3526510136486767E-3</v>
      </c>
      <c r="H41">
        <f t="shared" si="3"/>
        <v>-2.024389043191599E-2</v>
      </c>
      <c r="I41">
        <f t="shared" si="3"/>
        <v>-4.4792779272157301E-2</v>
      </c>
    </row>
    <row r="42" spans="1:9" x14ac:dyDescent="0.25">
      <c r="A42" s="2">
        <v>44805</v>
      </c>
      <c r="B42">
        <v>110.844292</v>
      </c>
      <c r="C42">
        <v>3585.6201169999999</v>
      </c>
      <c r="D42" s="1">
        <v>3.18</v>
      </c>
      <c r="E42">
        <f t="shared" si="2"/>
        <v>-6.339494222095543E-2</v>
      </c>
      <c r="F42">
        <f t="shared" si="2"/>
        <v>-9.3395672060682666E-2</v>
      </c>
      <c r="G42">
        <f t="shared" si="0"/>
        <v>2.6121432022319091E-3</v>
      </c>
      <c r="H42">
        <f t="shared" si="3"/>
        <v>-6.6007085423187339E-2</v>
      </c>
      <c r="I42">
        <f t="shared" si="3"/>
        <v>-9.6007815262914575E-2</v>
      </c>
    </row>
    <row r="43" spans="1:9" x14ac:dyDescent="0.25">
      <c r="A43" s="2">
        <v>44835</v>
      </c>
      <c r="B43">
        <v>129.01824999999999</v>
      </c>
      <c r="C43">
        <v>3871.9799800000001</v>
      </c>
      <c r="D43" s="1">
        <v>3.9750000000000001</v>
      </c>
      <c r="E43">
        <f t="shared" si="2"/>
        <v>0.16395934939076517</v>
      </c>
      <c r="F43">
        <f t="shared" si="2"/>
        <v>7.9863413762746971E-2</v>
      </c>
      <c r="G43">
        <f t="shared" si="0"/>
        <v>3.2536399365712398E-3</v>
      </c>
      <c r="H43">
        <f t="shared" si="3"/>
        <v>0.16070570945419393</v>
      </c>
      <c r="I43">
        <f t="shared" si="3"/>
        <v>7.6609773826175731E-2</v>
      </c>
    </row>
    <row r="44" spans="1:9" x14ac:dyDescent="0.25">
      <c r="A44" s="2">
        <v>44866</v>
      </c>
      <c r="B44">
        <v>138.91688500000001</v>
      </c>
      <c r="C44">
        <v>4080.110107</v>
      </c>
      <c r="D44" s="1">
        <v>4.2530000000000001</v>
      </c>
      <c r="E44">
        <f t="shared" si="2"/>
        <v>7.6722750463597222E-2</v>
      </c>
      <c r="F44">
        <f t="shared" si="2"/>
        <v>5.3752893371106669E-2</v>
      </c>
      <c r="G44">
        <f t="shared" si="0"/>
        <v>3.4769013854158981E-3</v>
      </c>
      <c r="H44">
        <f t="shared" si="3"/>
        <v>7.3245849078181324E-2</v>
      </c>
      <c r="I44">
        <f t="shared" si="3"/>
        <v>5.0275991985690771E-2</v>
      </c>
    </row>
    <row r="45" spans="1:9" x14ac:dyDescent="0.25">
      <c r="A45" s="2">
        <v>44896</v>
      </c>
      <c r="B45">
        <v>133.01110800000001</v>
      </c>
      <c r="C45">
        <v>3839.5</v>
      </c>
      <c r="D45" s="1">
        <v>4.26</v>
      </c>
      <c r="E45">
        <f t="shared" si="2"/>
        <v>-4.2513024964531798E-2</v>
      </c>
      <c r="F45">
        <f t="shared" si="2"/>
        <v>-5.8971473977430078E-2</v>
      </c>
      <c r="G45">
        <f t="shared" si="0"/>
        <v>3.4825160297176083E-3</v>
      </c>
      <c r="H45">
        <f t="shared" si="3"/>
        <v>-4.5995540994249406E-2</v>
      </c>
      <c r="I45">
        <f t="shared" si="3"/>
        <v>-6.2453990007147686E-2</v>
      </c>
    </row>
    <row r="46" spans="1:9" x14ac:dyDescent="0.25">
      <c r="A46" s="2">
        <v>44927</v>
      </c>
      <c r="B46">
        <v>127.195595</v>
      </c>
      <c r="C46">
        <v>4076.6000979999999</v>
      </c>
      <c r="D46" s="1">
        <v>4.57</v>
      </c>
      <c r="E46">
        <f t="shared" si="2"/>
        <v>-4.3722010044454418E-2</v>
      </c>
      <c r="F46">
        <f t="shared" si="2"/>
        <v>6.1752857924208815E-2</v>
      </c>
      <c r="G46">
        <f t="shared" si="0"/>
        <v>3.7308187111868563E-3</v>
      </c>
      <c r="H46">
        <f t="shared" si="3"/>
        <v>-4.7452828755641274E-2</v>
      </c>
      <c r="I46">
        <f t="shared" si="3"/>
        <v>5.8022039213021959E-2</v>
      </c>
    </row>
    <row r="47" spans="1:9" x14ac:dyDescent="0.25">
      <c r="A47" s="2">
        <v>44958</v>
      </c>
      <c r="B47">
        <v>122.069244</v>
      </c>
      <c r="C47">
        <v>3970.1499020000001</v>
      </c>
      <c r="D47" s="1">
        <v>4.71</v>
      </c>
      <c r="E47">
        <f t="shared" si="2"/>
        <v>-4.0302897281938144E-2</v>
      </c>
      <c r="F47">
        <f t="shared" si="2"/>
        <v>-2.6112494098262107E-2</v>
      </c>
      <c r="G47">
        <f t="shared" si="0"/>
        <v>3.8427343023630378E-3</v>
      </c>
      <c r="H47">
        <f t="shared" si="3"/>
        <v>-4.4145631584301182E-2</v>
      </c>
      <c r="I47">
        <f t="shared" si="3"/>
        <v>-2.9955228400625145E-2</v>
      </c>
    </row>
    <row r="48" spans="1:9" x14ac:dyDescent="0.25">
      <c r="A48" s="2">
        <v>44986</v>
      </c>
      <c r="B48">
        <v>125.27930499999999</v>
      </c>
      <c r="C48">
        <v>4109.3100590000004</v>
      </c>
      <c r="D48" s="1">
        <v>4.585</v>
      </c>
      <c r="E48">
        <f t="shared" si="2"/>
        <v>2.6297049894074886E-2</v>
      </c>
      <c r="F48">
        <f t="shared" si="2"/>
        <v>3.5051612769053664E-2</v>
      </c>
      <c r="G48">
        <f t="shared" si="0"/>
        <v>3.7428162347838967E-3</v>
      </c>
      <c r="H48">
        <f t="shared" si="3"/>
        <v>2.255423365929099E-2</v>
      </c>
      <c r="I48">
        <f t="shared" si="3"/>
        <v>3.1308796534269767E-2</v>
      </c>
    </row>
    <row r="49" spans="1:9" x14ac:dyDescent="0.25">
      <c r="A49" s="2">
        <v>45017</v>
      </c>
      <c r="B49">
        <v>120.806755</v>
      </c>
      <c r="C49">
        <v>4169.4799800000001</v>
      </c>
      <c r="D49" s="1">
        <v>4.923</v>
      </c>
      <c r="E49">
        <f t="shared" si="2"/>
        <v>-3.5700629086344304E-2</v>
      </c>
      <c r="F49">
        <f t="shared" si="2"/>
        <v>1.4642341448102281E-2</v>
      </c>
      <c r="G49">
        <f t="shared" si="0"/>
        <v>4.0127430648317919E-3</v>
      </c>
      <c r="H49">
        <f t="shared" si="3"/>
        <v>-3.9713372151176096E-2</v>
      </c>
      <c r="I49">
        <f t="shared" si="3"/>
        <v>1.0629598383270489E-2</v>
      </c>
    </row>
    <row r="50" spans="1:9" x14ac:dyDescent="0.25">
      <c r="A50" s="2">
        <v>45047</v>
      </c>
      <c r="B50">
        <v>122.89012099999999</v>
      </c>
      <c r="C50">
        <v>4179.830078</v>
      </c>
      <c r="D50" s="1">
        <v>5.2480000000000002</v>
      </c>
      <c r="E50">
        <f t="shared" si="2"/>
        <v>1.7245442939014533E-2</v>
      </c>
      <c r="F50">
        <f t="shared" si="2"/>
        <v>2.4823474509163557E-3</v>
      </c>
      <c r="G50">
        <f t="shared" si="0"/>
        <v>4.2715374544011198E-3</v>
      </c>
      <c r="H50">
        <f t="shared" si="3"/>
        <v>1.2973905484613413E-2</v>
      </c>
      <c r="I50">
        <f t="shared" si="3"/>
        <v>-1.7891900034847641E-3</v>
      </c>
    </row>
    <row r="51" spans="1:9" x14ac:dyDescent="0.25">
      <c r="A51" s="2">
        <v>45078</v>
      </c>
      <c r="B51">
        <v>129.62243699999999</v>
      </c>
      <c r="C51">
        <v>4450.3798829999996</v>
      </c>
      <c r="D51" s="1">
        <v>5.1529999999999996</v>
      </c>
      <c r="E51">
        <f t="shared" si="2"/>
        <v>5.4783215650019645E-2</v>
      </c>
      <c r="F51">
        <f t="shared" si="2"/>
        <v>6.4727464980933958E-2</v>
      </c>
      <c r="G51">
        <f t="shared" si="0"/>
        <v>4.1959657184944543E-3</v>
      </c>
      <c r="H51">
        <f t="shared" si="3"/>
        <v>5.0587249931525191E-2</v>
      </c>
      <c r="I51">
        <f t="shared" si="3"/>
        <v>6.0531499262439503E-2</v>
      </c>
    </row>
    <row r="52" spans="1:9" x14ac:dyDescent="0.25">
      <c r="A52" s="2">
        <v>45108</v>
      </c>
      <c r="B52">
        <v>139.66789199999999</v>
      </c>
      <c r="C52">
        <v>4588.9599609999996</v>
      </c>
      <c r="D52" s="1">
        <v>5.2480000000000002</v>
      </c>
      <c r="E52">
        <f t="shared" si="2"/>
        <v>7.7497810043488213E-2</v>
      </c>
      <c r="F52">
        <f t="shared" si="2"/>
        <v>3.113893232561149E-2</v>
      </c>
      <c r="G52">
        <f t="shared" si="0"/>
        <v>4.2715374544011198E-3</v>
      </c>
      <c r="H52">
        <f t="shared" si="3"/>
        <v>7.3226272589087094E-2</v>
      </c>
      <c r="I52">
        <f t="shared" si="3"/>
        <v>2.6867394871210371E-2</v>
      </c>
    </row>
    <row r="53" spans="1:9" x14ac:dyDescent="0.25">
      <c r="A53" s="2">
        <v>45139</v>
      </c>
      <c r="B53">
        <v>142.23497</v>
      </c>
      <c r="C53">
        <v>4507.6601559999999</v>
      </c>
      <c r="D53" s="1">
        <v>5.298</v>
      </c>
      <c r="E53">
        <f t="shared" si="2"/>
        <v>1.8379872161312649E-2</v>
      </c>
      <c r="F53">
        <f t="shared" si="2"/>
        <v>-1.7716390138710958E-2</v>
      </c>
      <c r="G53">
        <f t="shared" si="0"/>
        <v>4.3112869402990306E-3</v>
      </c>
      <c r="H53">
        <f t="shared" si="3"/>
        <v>1.4068585221013619E-2</v>
      </c>
      <c r="I53">
        <f t="shared" si="3"/>
        <v>-2.2027677079009989E-2</v>
      </c>
    </row>
    <row r="54" spans="1:9" x14ac:dyDescent="0.25">
      <c r="A54" s="2">
        <v>45170</v>
      </c>
      <c r="B54">
        <v>137.47335799999999</v>
      </c>
      <c r="C54">
        <v>4288.0498049999997</v>
      </c>
      <c r="D54" s="1">
        <v>5.3</v>
      </c>
      <c r="E54">
        <f t="shared" si="2"/>
        <v>-3.3477083729831048E-2</v>
      </c>
      <c r="F54">
        <f t="shared" si="2"/>
        <v>-4.8719367343539433E-2</v>
      </c>
      <c r="G54">
        <f t="shared" si="0"/>
        <v>4.3128765598297036E-3</v>
      </c>
      <c r="H54">
        <f t="shared" si="3"/>
        <v>-3.7789960289660751E-2</v>
      </c>
      <c r="I54">
        <f t="shared" si="3"/>
        <v>-5.3032243903369136E-2</v>
      </c>
    </row>
    <row r="55" spans="1:9" x14ac:dyDescent="0.25">
      <c r="A55" s="2">
        <v>45200</v>
      </c>
      <c r="B55">
        <v>141.725922</v>
      </c>
      <c r="C55">
        <v>4193.7998049999997</v>
      </c>
      <c r="D55" s="1">
        <v>5.32</v>
      </c>
      <c r="E55">
        <f t="shared" si="2"/>
        <v>3.0933731901711559E-2</v>
      </c>
      <c r="F55">
        <f t="shared" si="2"/>
        <v>-2.1979688736381231E-2</v>
      </c>
      <c r="G55">
        <f t="shared" si="0"/>
        <v>4.3287712331259165E-3</v>
      </c>
      <c r="H55">
        <f t="shared" si="3"/>
        <v>2.6604960668585642E-2</v>
      </c>
      <c r="I55">
        <f t="shared" si="3"/>
        <v>-2.6308459969507147E-2</v>
      </c>
    </row>
    <row r="56" spans="1:9" x14ac:dyDescent="0.25">
      <c r="A56" s="2">
        <v>45231</v>
      </c>
      <c r="B56">
        <v>155.36546300000001</v>
      </c>
      <c r="C56">
        <v>4567.7998049999997</v>
      </c>
      <c r="D56" s="1">
        <v>5.2380000000000004</v>
      </c>
      <c r="E56">
        <f t="shared" si="2"/>
        <v>9.6238858830637986E-2</v>
      </c>
      <c r="F56">
        <f t="shared" si="2"/>
        <v>8.9179268775324783E-2</v>
      </c>
      <c r="G56">
        <f t="shared" si="0"/>
        <v>4.2635854800638917E-3</v>
      </c>
      <c r="H56">
        <f t="shared" si="3"/>
        <v>9.1975273350574094E-2</v>
      </c>
      <c r="I56">
        <f t="shared" si="3"/>
        <v>8.4915683295260891E-2</v>
      </c>
    </row>
    <row r="57" spans="1:9" x14ac:dyDescent="0.25">
      <c r="A57" s="2">
        <v>45261</v>
      </c>
      <c r="B57">
        <v>162.07240300000001</v>
      </c>
      <c r="C57">
        <v>4769.830078</v>
      </c>
      <c r="D57" s="1">
        <v>5.18</v>
      </c>
      <c r="E57">
        <f t="shared" si="2"/>
        <v>4.316879614358049E-2</v>
      </c>
      <c r="F57">
        <f t="shared" si="2"/>
        <v>4.4229231057555163E-2</v>
      </c>
      <c r="G57">
        <f t="shared" si="0"/>
        <v>4.21745036527299E-3</v>
      </c>
      <c r="H57">
        <f t="shared" si="3"/>
        <v>3.89513457783075E-2</v>
      </c>
      <c r="I57">
        <f t="shared" si="3"/>
        <v>4.0011780692282173E-2</v>
      </c>
    </row>
    <row r="58" spans="1:9" x14ac:dyDescent="0.25">
      <c r="A58" s="2">
        <v>45292</v>
      </c>
      <c r="B58">
        <v>182.00071700000001</v>
      </c>
      <c r="C58">
        <v>4845.6499020000001</v>
      </c>
      <c r="D58" s="1">
        <v>5.1879999999999997</v>
      </c>
      <c r="E58">
        <f t="shared" si="2"/>
        <v>0.12295932947943022</v>
      </c>
      <c r="F58">
        <f t="shared" si="2"/>
        <v>1.5895707553547078E-2</v>
      </c>
      <c r="G58">
        <f t="shared" si="0"/>
        <v>4.2238152156510722E-3</v>
      </c>
      <c r="H58">
        <f t="shared" si="3"/>
        <v>0.11873551426377915</v>
      </c>
      <c r="I58">
        <f t="shared" si="3"/>
        <v>1.1671892337896006E-2</v>
      </c>
    </row>
    <row r="59" spans="1:9" x14ac:dyDescent="0.25">
      <c r="A59" s="2">
        <v>45323</v>
      </c>
      <c r="B59">
        <v>183.35833700000001</v>
      </c>
      <c r="C59">
        <v>5096.2700199999999</v>
      </c>
      <c r="D59" s="1">
        <v>5.2229999999999999</v>
      </c>
      <c r="E59">
        <f t="shared" si="2"/>
        <v>7.4594211626100027E-3</v>
      </c>
      <c r="F59">
        <f t="shared" si="2"/>
        <v>5.1720640795068329E-2</v>
      </c>
      <c r="G59">
        <f t="shared" si="0"/>
        <v>4.2516562197432162E-3</v>
      </c>
      <c r="H59">
        <f t="shared" si="3"/>
        <v>3.2077649428667865E-3</v>
      </c>
      <c r="I59">
        <f t="shared" si="3"/>
        <v>4.7468984575325113E-2</v>
      </c>
    </row>
    <row r="60" spans="1:9" x14ac:dyDescent="0.25">
      <c r="A60" s="2">
        <v>45352</v>
      </c>
      <c r="B60">
        <v>190.96000699999999</v>
      </c>
      <c r="C60">
        <v>5254.3500979999999</v>
      </c>
      <c r="D60" s="1">
        <v>5.2030000000000003</v>
      </c>
      <c r="E60">
        <f t="shared" si="2"/>
        <v>4.1458000352609936E-2</v>
      </c>
      <c r="F60">
        <f t="shared" si="2"/>
        <v>3.1018779887961978E-2</v>
      </c>
      <c r="G60">
        <f t="shared" si="0"/>
        <v>4.2357481141990228E-3</v>
      </c>
      <c r="H60">
        <f t="shared" si="3"/>
        <v>3.7222252238410913E-2</v>
      </c>
      <c r="I60">
        <f t="shared" si="3"/>
        <v>2.6783031773762955E-2</v>
      </c>
    </row>
    <row r="61" spans="1:9" x14ac:dyDescent="0.25">
      <c r="A61" s="2">
        <v>45383</v>
      </c>
      <c r="B61">
        <v>167.13000500000001</v>
      </c>
      <c r="C61">
        <v>5099.9599609999996</v>
      </c>
      <c r="D61" s="1">
        <v>5.2380000000000004</v>
      </c>
      <c r="E61">
        <f t="shared" si="2"/>
        <v>-0.12479053794756079</v>
      </c>
      <c r="F61">
        <f t="shared" si="2"/>
        <v>-2.9383298432810401E-2</v>
      </c>
      <c r="G61">
        <f t="shared" si="0"/>
        <v>4.2635854800638917E-3</v>
      </c>
      <c r="H61">
        <f t="shared" si="3"/>
        <v>-0.12905412342762468</v>
      </c>
      <c r="I61">
        <f t="shared" si="3"/>
        <v>-3.3646883912874292E-2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Andres Grosz</dc:creator>
  <cp:lastModifiedBy>Fernando Andres Grosz</cp:lastModifiedBy>
  <dcterms:created xsi:type="dcterms:W3CDTF">2025-07-05T10:35:01Z</dcterms:created>
  <dcterms:modified xsi:type="dcterms:W3CDTF">2025-07-05T10:35:41Z</dcterms:modified>
</cp:coreProperties>
</file>